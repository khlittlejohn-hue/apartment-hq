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hores" sheetId="2" state="visible" r:id="rId4"/>
    <sheet name="ManagementItems" sheetId="3" state="visible" r:id="rId5"/>
    <sheet name="ChecklistItems" sheetId="4" state="visible" r:id="rId6"/>
    <sheet name="History" sheetId="5" state="visible" r:id="rId7"/>
    <sheet name="CommunalItems" sheetId="6" state="visible" r:id="rId8"/>
    <sheet name="CommunalItemHistory" sheetId="7" state="visible" r:id="rId9"/>
    <sheet name="Bills" sheetId="8" state="visible" r:id="rId10"/>
    <sheet name="Payments" sheetId="9" state="visible" r:id="rId11"/>
    <sheet name="FinanceSummary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<sst xmlns="http://schemas.openxmlformats.org/spreadsheetml/2006/main" count="275" uniqueCount="150">
  <si>
    <t xml:space="preserve">Apartment HQ — Data Workbook</t>
  </si>
  <si>
    <t xml:space="preserve">Backend data store for the Apartment HQ web app (Kyle + Matt). The app reads/writes these tabs through a Google Apps Script Web App — you generally won't type into most of these directly once it's live.</t>
  </si>
  <si>
    <t xml:space="preserve">DO NOT rename any tab or column header below — the Apps Script code matches these exactly.</t>
  </si>
  <si>
    <t xml:space="preserve">The app has four areas, built from these tabs:</t>
  </si>
  <si>
    <t xml:space="preserve">  Chores            — recurring chores (each can have its own checklist) + the 2026 Apartment Refresh project</t>
  </si>
  <si>
    <t xml:space="preserve">  Building Management — items that need the landlord/property management, tracked separately from chores</t>
  </si>
  <si>
    <t xml:space="preserve">  Communal Items    — shared household consumables (paper towels, toilet paper, cleaning products, ...)</t>
  </si>
  <si>
    <t xml:space="preserve">  Finances          — recurring bills, payment history, and a Kyle-vs-Matt summary table</t>
  </si>
  <si>
    <t xml:space="preserve">Tabs:</t>
  </si>
  <si>
    <t xml:space="preserve">  Chores               — recurring + one-off chores/projects</t>
  </si>
  <si>
    <t xml:space="preserve">  ManagementItems      — Building Management area</t>
  </si>
  <si>
    <t xml:space="preserve">  ChecklistItems       — sub-steps for any row in Chores OR ManagementItems (ParentType/ParentID), each with</t>
  </si>
  <si>
    <t xml:space="preserve">                         its own AssignedTo + GoalDate so a multi-step project reads as a real timeline</t>
  </si>
  <si>
    <t xml:space="preserve">  History              — completion log for Chores; "last deep cleaned" = newest History row for that chore</t>
  </si>
  <si>
    <t xml:space="preserve">  CommunalItems        — shared consumables list</t>
  </si>
  <si>
    <t xml:space="preserve">  CommunalItemHistory  — full purchase log behind CommunalItems</t>
  </si>
  <si>
    <t xml:space="preserve">  Bills                — recurring bill definitions (rent, electricity, internet)</t>
  </si>
  <si>
    <t xml:space="preserve">  Payments             — every payment logged by whoever paid it; this is the real ledger</t>
  </si>
  <si>
    <t xml:space="preserve">  FinanceSummary       — live SUMIFS totals per bill per person, computed from Payments</t>
  </si>
  <si>
    <t xml:space="preserve">Cells shaded gold with italic text are marked TBD — Kyle/Matt need to fill in the real number (exact rent</t>
  </si>
  <si>
    <t xml:space="preserve">split, exact goal dates for the refresh project). Nothing was invented for these.</t>
  </si>
  <si>
    <t xml:space="preserve">Green-tinted rows are real starter data already filled in from what you described.</t>
  </si>
  <si>
    <t xml:space="preserve">Yellow-tinted rows are format examples only, not real records — delete once the app is writing real rows.</t>
  </si>
  <si>
    <t xml:space="preserve">Sections used throughout: Living Room, Foyer, Bathroom, Kitchen, Backyard, Whole Apartment.</t>
  </si>
  <si>
    <t xml:space="preserve">MIGRATION NOTE: Kyle's existing apartment-finances Google Sheet (past 3 months, Kyle/Matt rent + electricity)</t>
  </si>
  <si>
    <t xml:space="preserve">was not accessible while building this — those historical line items still need to be entered into the</t>
  </si>
  <si>
    <t xml:space="preserve">Payments tab by hand or pasted to Claude to enter. No historical dollar figures were fabricated here.</t>
  </si>
  <si>
    <t xml:space="preserve">ID</t>
  </si>
  <si>
    <t xml:space="preserve">Name</t>
  </si>
  <si>
    <t xml:space="preserve">Type</t>
  </si>
  <si>
    <t xml:space="preserve">Section</t>
  </si>
  <si>
    <t xml:space="preserve">AssignedTo</t>
  </si>
  <si>
    <t xml:space="preserve">Cadence</t>
  </si>
  <si>
    <t xml:space="preserve">TimelineStart</t>
  </si>
  <si>
    <t xml:space="preserve">TimelineDue</t>
  </si>
  <si>
    <t xml:space="preserve">Status</t>
  </si>
  <si>
    <t xml:space="preserve">Notes</t>
  </si>
  <si>
    <t xml:space="preserve">1</t>
  </si>
  <si>
    <t xml:space="preserve">Deep Clean Bathroom</t>
  </si>
  <si>
    <t xml:space="preserve">Recurring</t>
  </si>
  <si>
    <t xml:space="preserve">Bathroom</t>
  </si>
  <si>
    <t xml:space="preserve">Matt</t>
  </si>
  <si>
    <t xml:space="preserve">Monthly</t>
  </si>
  <si>
    <t xml:space="preserve">Not Started</t>
  </si>
  <si>
    <t xml:space="preserve">See checklist for sub-steps</t>
  </si>
  <si>
    <t xml:space="preserve">2</t>
  </si>
  <si>
    <t xml:space="preserve">Mop</t>
  </si>
  <si>
    <t xml:space="preserve">Whole Apartment</t>
  </si>
  <si>
    <t xml:space="preserve">Everyone</t>
  </si>
  <si>
    <t xml:space="preserve">Weekly</t>
  </si>
  <si>
    <t xml:space="preserve">3</t>
  </si>
  <si>
    <t xml:space="preserve">Organize Tupperware</t>
  </si>
  <si>
    <t xml:space="preserve">One-off</t>
  </si>
  <si>
    <t xml:space="preserve">Kitchen</t>
  </si>
  <si>
    <t xml:space="preserve">Kyle</t>
  </si>
  <si>
    <t xml:space="preserve">One-time</t>
  </si>
  <si>
    <t xml:space="preserve">4</t>
  </si>
  <si>
    <t xml:space="preserve">Deep Clean Fridge</t>
  </si>
  <si>
    <t xml:space="preserve">5</t>
  </si>
  <si>
    <t xml:space="preserve">Clean Backyard</t>
  </si>
  <si>
    <t xml:space="preserve">Backyard</t>
  </si>
  <si>
    <t xml:space="preserve">6</t>
  </si>
  <si>
    <t xml:space="preserve">2026 Apartment Refresh</t>
  </si>
  <si>
    <t xml:space="preserve">Living Room</t>
  </si>
  <si>
    <t xml:space="preserve">TBD</t>
  </si>
  <si>
    <t xml:space="preserve">In Progress</t>
  </si>
  <si>
    <t xml:space="preserve">Furniture swap + wallpaper — see checklist for the full plan and goal dates</t>
  </si>
  <si>
    <t xml:space="preserve">ContactedManagement</t>
  </si>
  <si>
    <t xml:space="preserve">ContactedBy</t>
  </si>
  <si>
    <t xml:space="preserve">Method</t>
  </si>
  <si>
    <t xml:space="preserve">DateContacted</t>
  </si>
  <si>
    <t xml:space="preserve">Example: fix a maintenance issue</t>
  </si>
  <si>
    <t xml:space="preserve">Yes</t>
  </si>
  <si>
    <t xml:space="preserve">Online Portal</t>
  </si>
  <si>
    <t xml:space="preserve">2026-07-01</t>
  </si>
  <si>
    <t xml:space="preserve">Submitted</t>
  </si>
  <si>
    <t xml:space="preserve">Format example only — replace with a real item</t>
  </si>
  <si>
    <t xml:space="preserve">ParentType</t>
  </si>
  <si>
    <t xml:space="preserve">ParentID</t>
  </si>
  <si>
    <t xml:space="preserve">ItemText</t>
  </si>
  <si>
    <t xml:space="preserve">GoalDate</t>
  </si>
  <si>
    <t xml:space="preserve">Done</t>
  </si>
  <si>
    <t xml:space="preserve">SortOrder</t>
  </si>
  <si>
    <t xml:space="preserve">Chore</t>
  </si>
  <si>
    <t xml:space="preserve">Scrub shower</t>
  </si>
  <si>
    <t xml:space="preserve">FALSE</t>
  </si>
  <si>
    <t xml:space="preserve">Scrub toilet</t>
  </si>
  <si>
    <t xml:space="preserve">Wipe mirror</t>
  </si>
  <si>
    <t xml:space="preserve">Mop bathroom floor</t>
  </si>
  <si>
    <t xml:space="preserve">Sell old couch, coffee table, TV stand</t>
  </si>
  <si>
    <t xml:space="preserve">Buy new couch</t>
  </si>
  <si>
    <t xml:space="preserve">7</t>
  </si>
  <si>
    <t xml:space="preserve">Buy new coffee table</t>
  </si>
  <si>
    <t xml:space="preserve">8</t>
  </si>
  <si>
    <t xml:space="preserve">Buy new TV stand</t>
  </si>
  <si>
    <t xml:space="preserve">9</t>
  </si>
  <si>
    <t xml:space="preserve">Remove old curtains</t>
  </si>
  <si>
    <t xml:space="preserve">10</t>
  </si>
  <si>
    <t xml:space="preserve">Redo wallpaper</t>
  </si>
  <si>
    <t xml:space="preserve">11</t>
  </si>
  <si>
    <t xml:space="preserve">Move gym equipment out of living room</t>
  </si>
  <si>
    <t xml:space="preserve">ChoreID</t>
  </si>
  <si>
    <t xml:space="preserve">ChoreName</t>
  </si>
  <si>
    <t xml:space="preserve">CompletedBy</t>
  </si>
  <si>
    <t xml:space="preserve">CompletedDate</t>
  </si>
  <si>
    <t xml:space="preserve">2026-07-06</t>
  </si>
  <si>
    <t xml:space="preserve">Format example only</t>
  </si>
  <si>
    <t xml:space="preserve">ItemName</t>
  </si>
  <si>
    <t xml:space="preserve">TypicalCadenceDays</t>
  </si>
  <si>
    <t xml:space="preserve">LastBoughtDate</t>
  </si>
  <si>
    <t xml:space="preserve">LastBoughtBy</t>
  </si>
  <si>
    <t xml:space="preserve">Paper Towels</t>
  </si>
  <si>
    <t xml:space="preserve">21</t>
  </si>
  <si>
    <t xml:space="preserve">Toilet Paper</t>
  </si>
  <si>
    <t xml:space="preserve">Cleaning Products</t>
  </si>
  <si>
    <t xml:space="preserve">30</t>
  </si>
  <si>
    <t xml:space="preserve">Trash Bags</t>
  </si>
  <si>
    <t xml:space="preserve">BoughtBy</t>
  </si>
  <si>
    <t xml:space="preserve">Date</t>
  </si>
  <si>
    <t xml:space="preserve">Price</t>
  </si>
  <si>
    <t xml:space="preserve">2026-07-20</t>
  </si>
  <si>
    <t xml:space="preserve">12.99</t>
  </si>
  <si>
    <t xml:space="preserve">BillName</t>
  </si>
  <si>
    <t xml:space="preserve">TypicalAmount</t>
  </si>
  <si>
    <t xml:space="preserve">DueDayOfMonth</t>
  </si>
  <si>
    <t xml:space="preserve">SplitNote</t>
  </si>
  <si>
    <t xml:space="preserve">Category</t>
  </si>
  <si>
    <t xml:space="preserve">Rent</t>
  </si>
  <si>
    <t xml:space="preserve">Split 50/50 — exact amount TBD</t>
  </si>
  <si>
    <t xml:space="preserve">Housing</t>
  </si>
  <si>
    <t xml:space="preserve">Electricity</t>
  </si>
  <si>
    <t xml:space="preserve">15</t>
  </si>
  <si>
    <t xml:space="preserve">Varies monthly — log each month's actual bill in Payments</t>
  </si>
  <si>
    <t xml:space="preserve">Utilities</t>
  </si>
  <si>
    <t xml:space="preserve">Internet (Spectrum)</t>
  </si>
  <si>
    <t xml:space="preserve">110</t>
  </si>
  <si>
    <t xml:space="preserve">Split 50/50 (~$55 each) — confirm exact amount</t>
  </si>
  <si>
    <t xml:space="preserve">AmountPaid</t>
  </si>
  <si>
    <t xml:space="preserve">PaidBy</t>
  </si>
  <si>
    <t xml:space="preserve">DatePaid</t>
  </si>
  <si>
    <t xml:space="preserve">Period</t>
  </si>
  <si>
    <t xml:space="preserve">59.21</t>
  </si>
  <si>
    <t xml:space="preserve">2026-07-16</t>
  </si>
  <si>
    <t xml:space="preserve">2026-07</t>
  </si>
  <si>
    <t xml:space="preserve">Format example only — replace with real payment history</t>
  </si>
  <si>
    <t xml:space="preserve">Live totals — computed from the Payments tab. Add rows to Payments; this updates automatically.</t>
  </si>
  <si>
    <t xml:space="preserve">Kyle Total Paid</t>
  </si>
  <si>
    <t xml:space="preserve">Matt Total Paid</t>
  </si>
  <si>
    <t xml:space="preserve">Combined Total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</si>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</sst>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B5F6E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B2131"/>
      <name val="Arial"/>
      <family val="0"/>
      <charset val="1"/>
    </font>
    <font>
      <i val="true"/>
      <sz val="10"/>
      <color rgb="FFA9781F"/>
      <name val="Arial"/>
      <family val="0"/>
      <charset val="1"/>
    </font>
    <font>
      <i val="true"/>
      <sz val="10"/>
      <color rgb="FF7A6A3D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2131"/>
        <bgColor rgb="FF333300"/>
      </patternFill>
    </fill>
    <fill>
      <patternFill patternType="solid">
        <fgColor rgb="FFEFF6F2"/>
        <bgColor rgb="FFFFF6DC"/>
      </patternFill>
    </fill>
    <fill>
      <patternFill patternType="solid">
        <fgColor rgb="FFFFF6DC"/>
        <bgColor rgb="FFEFF6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7C9"/>
      </left>
      <right style="thin">
        <color rgb="FFDDD7C9"/>
      </right>
      <top style="thin">
        <color rgb="FFDDD7C9"/>
      </top>
      <bottom style="thin">
        <color rgb="FFDDD7C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9781F"/>
      <rgbColor rgb="FF800080"/>
      <rgbColor rgb="FF008080"/>
      <rgbColor rgb="FFC0C0C0"/>
      <rgbColor rgb="FF7A6A3D"/>
      <rgbColor rgb="FF9999FF"/>
      <rgbColor rgb="FF993366"/>
      <rgbColor rgb="FFFFF6DC"/>
      <rgbColor rgb="FFEFF6F2"/>
      <rgbColor rgb="FF660066"/>
      <rgbColor rgb="FFFF8080"/>
      <rgbColor rgb="FF0066CC"/>
      <rgbColor rgb="FFDDD7C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5F6E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13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5"/>
  </cols>
  <sheetData>
    <row r="1" customFormat="false" ht="17.35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/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3" t="s">
        <v>16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 t="s">
        <v>18</v>
      </c>
    </row>
    <row r="23" customFormat="false" ht="15" hidden="false" customHeight="false" outlineLevel="0" collapsed="false">
      <c r="A23" s="3"/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3" t="s">
        <v>20</v>
      </c>
    </row>
    <row r="26" customFormat="false" ht="15" hidden="false" customHeight="false" outlineLevel="0" collapsed="false">
      <c r="A26" s="3" t="s">
        <v>21</v>
      </c>
    </row>
    <row r="27" customFormat="false" ht="15" hidden="false" customHeight="false" outlineLevel="0" collapsed="false">
      <c r="A27" s="3" t="s">
        <v>22</v>
      </c>
    </row>
    <row r="28" customFormat="false" ht="15" hidden="false" customHeight="false" outlineLevel="0" collapsed="false">
      <c r="A28" s="3"/>
    </row>
    <row r="29" customFormat="false" ht="15" hidden="false" customHeight="false" outlineLevel="0" collapsed="false">
      <c r="A29" s="3" t="s">
        <v>23</v>
      </c>
    </row>
    <row r="30" customFormat="false" ht="15" hidden="false" customHeight="false" outlineLevel="0" collapsed="false">
      <c r="A30" s="3"/>
    </row>
    <row r="31" customFormat="false" ht="15" hidden="false" customHeight="false" outlineLevel="0" collapsed="false">
      <c r="A31" s="3" t="s">
        <v>24</v>
      </c>
    </row>
    <row r="32" customFormat="false" ht="15" hidden="false" customHeight="false" outlineLevel="0" collapsed="false">
      <c r="A32" s="3" t="s">
        <v>25</v>
      </c>
    </row>
    <row r="33" customFormat="false" ht="15" hidden="false" customHeight="false" outlineLevel="0" collapsed="false">
      <c r="A33" s="3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6" min="5" style="0" width="12"/>
    <col collapsed="false" customWidth="true" hidden="false" outlineLevel="0" max="9" min="7" style="0" width="14"/>
    <col collapsed="false" customWidth="true" hidden="false" outlineLevel="0" max="10" min="10" style="0" width="42"/>
  </cols>
  <sheetData>
    <row r="1" customFormat="false" ht="15" hidden="false" customHeight="false" outlineLevel="0" collapsed="false">
      <c r="A1" s="4" t="s">
        <v>27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4" t="s">
        <v>36</v>
      </c>
    </row>
    <row r="2" customFormat="false" ht="15" hidden="false" customHeight="false" outlineLevel="0" collapsed="false">
      <c r="A2" s="5" t="s">
        <v>37</v>
      </c>
      <c r="B2" s="5" t="s">
        <v>38</v>
      </c>
      <c r="C2" s="5" t="s">
        <v>39</v>
      </c>
      <c r="D2" s="5" t="s">
        <v>40</v>
      </c>
      <c r="E2" s="5" t="s">
        <v>41</v>
      </c>
      <c r="F2" s="5" t="s">
        <v>42</v>
      </c>
      <c r="G2" s="5"/>
      <c r="H2" s="5"/>
      <c r="I2" s="5" t="s">
        <v>43</v>
      </c>
      <c r="J2" s="5" t="s">
        <v>44</v>
      </c>
    </row>
    <row r="3" customFormat="false" ht="15" hidden="false" customHeight="false" outlineLevel="0" collapsed="false">
      <c r="A3" s="5" t="s">
        <v>45</v>
      </c>
      <c r="B3" s="5" t="s">
        <v>46</v>
      </c>
      <c r="C3" s="5" t="s">
        <v>39</v>
      </c>
      <c r="D3" s="5" t="s">
        <v>47</v>
      </c>
      <c r="E3" s="5" t="s">
        <v>48</v>
      </c>
      <c r="F3" s="5" t="s">
        <v>49</v>
      </c>
      <c r="G3" s="5"/>
      <c r="H3" s="5"/>
      <c r="I3" s="5" t="s">
        <v>43</v>
      </c>
      <c r="J3" s="5"/>
    </row>
    <row r="4" customFormat="false" ht="15" hidden="false" customHeight="false" outlineLevel="0" collapsed="false">
      <c r="A4" s="5" t="s">
        <v>50</v>
      </c>
      <c r="B4" s="5" t="s">
        <v>51</v>
      </c>
      <c r="C4" s="5" t="s">
        <v>52</v>
      </c>
      <c r="D4" s="5" t="s">
        <v>53</v>
      </c>
      <c r="E4" s="5" t="s">
        <v>54</v>
      </c>
      <c r="F4" s="5" t="s">
        <v>55</v>
      </c>
      <c r="G4" s="5"/>
      <c r="H4" s="5"/>
      <c r="I4" s="5" t="s">
        <v>43</v>
      </c>
      <c r="J4" s="5"/>
    </row>
    <row r="5" customFormat="false" ht="15" hidden="false" customHeight="false" outlineLevel="0" collapsed="false">
      <c r="A5" s="5" t="s">
        <v>56</v>
      </c>
      <c r="B5" s="5" t="s">
        <v>57</v>
      </c>
      <c r="C5" s="5" t="s">
        <v>39</v>
      </c>
      <c r="D5" s="5" t="s">
        <v>53</v>
      </c>
      <c r="E5" s="5" t="s">
        <v>41</v>
      </c>
      <c r="F5" s="5" t="s">
        <v>42</v>
      </c>
      <c r="G5" s="5"/>
      <c r="H5" s="5"/>
      <c r="I5" s="5" t="s">
        <v>43</v>
      </c>
      <c r="J5" s="5"/>
    </row>
    <row r="6" customFormat="false" ht="15" hidden="false" customHeight="false" outlineLevel="0" collapsed="false">
      <c r="A6" s="5" t="s">
        <v>58</v>
      </c>
      <c r="B6" s="5" t="s">
        <v>59</v>
      </c>
      <c r="C6" s="5" t="s">
        <v>39</v>
      </c>
      <c r="D6" s="5" t="s">
        <v>60</v>
      </c>
      <c r="E6" s="5" t="s">
        <v>48</v>
      </c>
      <c r="F6" s="5" t="s">
        <v>42</v>
      </c>
      <c r="G6" s="5"/>
      <c r="H6" s="5"/>
      <c r="I6" s="5" t="s">
        <v>43</v>
      </c>
      <c r="J6" s="5"/>
    </row>
    <row r="7" customFormat="false" ht="15" hidden="false" customHeight="false" outlineLevel="0" collapsed="false">
      <c r="A7" s="5" t="s">
        <v>61</v>
      </c>
      <c r="B7" s="5" t="s">
        <v>62</v>
      </c>
      <c r="C7" s="5" t="s">
        <v>52</v>
      </c>
      <c r="D7" s="5" t="s">
        <v>63</v>
      </c>
      <c r="E7" s="5" t="s">
        <v>48</v>
      </c>
      <c r="F7" s="5" t="s">
        <v>55</v>
      </c>
      <c r="G7" s="6" t="s">
        <v>64</v>
      </c>
      <c r="H7" s="6" t="s">
        <v>64</v>
      </c>
      <c r="I7" s="5" t="s">
        <v>65</v>
      </c>
      <c r="J7" s="5" t="s">
        <v>66</v>
      </c>
    </row>
  </sheetData>
  <dataValidations count="4">
    <dataValidation allowBlank="true" errorStyle="stop" operator="between" showDropDown="false" showErrorMessage="false" showInputMessage="false" sqref="C2:C300" type="list">
      <formula1>"Recurring,One-off"</formula1>
      <formula2>0</formula2>
    </dataValidation>
    <dataValidation allowBlank="true" errorStyle="stop" operator="between" showDropDown="false" showErrorMessage="false" showInputMessage="false" sqref="D2:D300" type="list">
      <formula1>"Living Room,Foyer,Bathroom,Kitchen,Backyard,Whole Apartment"</formula1>
      <formula2>0</formula2>
    </dataValidation>
    <dataValidation allowBlank="true" errorStyle="stop" operator="between" showDropDown="false" showErrorMessage="false" showInputMessage="false" sqref="E2:E300" type="list">
      <formula1>"Kyle,Matt,Everyone"</formula1>
      <formula2>0</formula2>
    </dataValidation>
    <dataValidation allowBlank="true" errorStyle="stop" operator="between" showDropDown="false" showErrorMessage="false" showInputMessage="false" sqref="I2:I300" type="list">
      <formula1>"Not Started,In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8" min="6" style="0" width="14"/>
    <col collapsed="false" customWidth="true" hidden="false" outlineLevel="0" max="9" min="9" style="0" width="34"/>
  </cols>
  <sheetData>
    <row r="1" customFormat="false" ht="15" hidden="false" customHeight="false" outlineLevel="0" collapsed="false">
      <c r="A1" s="4" t="s">
        <v>27</v>
      </c>
      <c r="B1" s="4" t="s">
        <v>28</v>
      </c>
      <c r="C1" s="4" t="s">
        <v>30</v>
      </c>
      <c r="D1" s="4" t="s">
        <v>67</v>
      </c>
      <c r="E1" s="4" t="s">
        <v>68</v>
      </c>
      <c r="F1" s="4" t="s">
        <v>69</v>
      </c>
      <c r="G1" s="4" t="s">
        <v>70</v>
      </c>
      <c r="H1" s="4" t="s">
        <v>35</v>
      </c>
      <c r="I1" s="4" t="s">
        <v>36</v>
      </c>
    </row>
    <row r="2" customFormat="false" ht="15" hidden="false" customHeight="false" outlineLevel="0" collapsed="false">
      <c r="A2" s="7" t="s">
        <v>37</v>
      </c>
      <c r="B2" s="7" t="s">
        <v>71</v>
      </c>
      <c r="C2" s="7" t="s">
        <v>53</v>
      </c>
      <c r="D2" s="7" t="s">
        <v>72</v>
      </c>
      <c r="E2" s="7" t="s">
        <v>54</v>
      </c>
      <c r="F2" s="7" t="s">
        <v>73</v>
      </c>
      <c r="G2" s="7" t="s">
        <v>74</v>
      </c>
      <c r="H2" s="7" t="s">
        <v>75</v>
      </c>
      <c r="I2" s="7" t="s">
        <v>76</v>
      </c>
    </row>
  </sheetData>
  <dataValidations count="5">
    <dataValidation allowBlank="true" errorStyle="stop" operator="between" showDropDown="false" showErrorMessage="false" showInputMessage="false" sqref="C2:C300" type="list">
      <formula1>"Living Room,Foyer,Bathroom,Kitchen,Backyard,Whole Apartment"</formula1>
      <formula2>0</formula2>
    </dataValidation>
    <dataValidation allowBlank="true" errorStyle="stop" operator="between" showDropDown="false" showErrorMessage="false" showInputMessage="false" sqref="D2:D300" type="list">
      <formula1>"Yes,No"</formula1>
      <formula2>0</formula2>
    </dataValidation>
    <dataValidation allowBlank="true" errorStyle="stop" operator="between" showDropDown="false" showErrorMessage="false" showInputMessage="false" sqref="E2:E300" type="list">
      <formula1>"Kyle,Matt,Everyone"</formula1>
      <formula2>0</formula2>
    </dataValidation>
    <dataValidation allowBlank="true" errorStyle="stop" operator="between" showDropDown="false" showErrorMessage="false" showInputMessage="false" sqref="F2:F300" type="list">
      <formula1>"Online Portal,Text"</formula1>
      <formula2>0</formula2>
    </dataValidation>
    <dataValidation allowBlank="true" errorStyle="stop" operator="between" showDropDown="false" showErrorMessage="false" showInputMessage="false" sqref="H2:H300" type="list">
      <formula1>"Not Started,Submitted,In Progress,Resolved"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42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4" t="s">
        <v>27</v>
      </c>
      <c r="B1" s="4" t="s">
        <v>77</v>
      </c>
      <c r="C1" s="4" t="s">
        <v>78</v>
      </c>
      <c r="D1" s="4" t="s">
        <v>79</v>
      </c>
      <c r="E1" s="4" t="s">
        <v>31</v>
      </c>
      <c r="F1" s="4" t="s">
        <v>80</v>
      </c>
      <c r="G1" s="4" t="s">
        <v>81</v>
      </c>
      <c r="H1" s="4" t="s">
        <v>82</v>
      </c>
    </row>
    <row r="2" customFormat="false" ht="15" hidden="false" customHeight="false" outlineLevel="0" collapsed="false">
      <c r="A2" s="5" t="s">
        <v>37</v>
      </c>
      <c r="B2" s="5" t="s">
        <v>83</v>
      </c>
      <c r="C2" s="5" t="s">
        <v>37</v>
      </c>
      <c r="D2" s="5" t="s">
        <v>84</v>
      </c>
      <c r="E2" s="5"/>
      <c r="F2" s="5"/>
      <c r="G2" s="5" t="s">
        <v>85</v>
      </c>
      <c r="H2" s="5" t="s">
        <v>37</v>
      </c>
    </row>
    <row r="3" customFormat="false" ht="15" hidden="false" customHeight="false" outlineLevel="0" collapsed="false">
      <c r="A3" s="5" t="s">
        <v>45</v>
      </c>
      <c r="B3" s="5" t="s">
        <v>83</v>
      </c>
      <c r="C3" s="5" t="s">
        <v>37</v>
      </c>
      <c r="D3" s="5" t="s">
        <v>86</v>
      </c>
      <c r="E3" s="5"/>
      <c r="F3" s="5"/>
      <c r="G3" s="5" t="s">
        <v>85</v>
      </c>
      <c r="H3" s="5" t="s">
        <v>45</v>
      </c>
    </row>
    <row r="4" customFormat="false" ht="15" hidden="false" customHeight="false" outlineLevel="0" collapsed="false">
      <c r="A4" s="5" t="s">
        <v>50</v>
      </c>
      <c r="B4" s="5" t="s">
        <v>83</v>
      </c>
      <c r="C4" s="5" t="s">
        <v>37</v>
      </c>
      <c r="D4" s="5" t="s">
        <v>87</v>
      </c>
      <c r="E4" s="5"/>
      <c r="F4" s="5"/>
      <c r="G4" s="5" t="s">
        <v>85</v>
      </c>
      <c r="H4" s="5" t="s">
        <v>50</v>
      </c>
    </row>
    <row r="5" customFormat="false" ht="15" hidden="false" customHeight="false" outlineLevel="0" collapsed="false">
      <c r="A5" s="5" t="s">
        <v>56</v>
      </c>
      <c r="B5" s="5" t="s">
        <v>83</v>
      </c>
      <c r="C5" s="5" t="s">
        <v>37</v>
      </c>
      <c r="D5" s="5" t="s">
        <v>88</v>
      </c>
      <c r="E5" s="5"/>
      <c r="F5" s="5"/>
      <c r="G5" s="5" t="s">
        <v>85</v>
      </c>
      <c r="H5" s="5" t="s">
        <v>56</v>
      </c>
    </row>
    <row r="6" customFormat="false" ht="15" hidden="false" customHeight="false" outlineLevel="0" collapsed="false">
      <c r="A6" s="5" t="s">
        <v>58</v>
      </c>
      <c r="B6" s="5" t="s">
        <v>83</v>
      </c>
      <c r="C6" s="5" t="s">
        <v>61</v>
      </c>
      <c r="D6" s="5" t="s">
        <v>89</v>
      </c>
      <c r="E6" s="5"/>
      <c r="F6" s="6" t="s">
        <v>64</v>
      </c>
      <c r="G6" s="5" t="s">
        <v>85</v>
      </c>
      <c r="H6" s="5" t="s">
        <v>37</v>
      </c>
    </row>
    <row r="7" customFormat="false" ht="15" hidden="false" customHeight="false" outlineLevel="0" collapsed="false">
      <c r="A7" s="5" t="s">
        <v>61</v>
      </c>
      <c r="B7" s="5" t="s">
        <v>83</v>
      </c>
      <c r="C7" s="5" t="s">
        <v>61</v>
      </c>
      <c r="D7" s="5" t="s">
        <v>90</v>
      </c>
      <c r="E7" s="5"/>
      <c r="F7" s="6" t="s">
        <v>64</v>
      </c>
      <c r="G7" s="5" t="s">
        <v>85</v>
      </c>
      <c r="H7" s="5" t="s">
        <v>45</v>
      </c>
    </row>
    <row r="8" customFormat="false" ht="15" hidden="false" customHeight="false" outlineLevel="0" collapsed="false">
      <c r="A8" s="5" t="s">
        <v>91</v>
      </c>
      <c r="B8" s="5" t="s">
        <v>83</v>
      </c>
      <c r="C8" s="5" t="s">
        <v>61</v>
      </c>
      <c r="D8" s="5" t="s">
        <v>92</v>
      </c>
      <c r="E8" s="5"/>
      <c r="F8" s="6" t="s">
        <v>64</v>
      </c>
      <c r="G8" s="5" t="s">
        <v>85</v>
      </c>
      <c r="H8" s="5" t="s">
        <v>50</v>
      </c>
    </row>
    <row r="9" customFormat="false" ht="15" hidden="false" customHeight="false" outlineLevel="0" collapsed="false">
      <c r="A9" s="5" t="s">
        <v>93</v>
      </c>
      <c r="B9" s="5" t="s">
        <v>83</v>
      </c>
      <c r="C9" s="5" t="s">
        <v>61</v>
      </c>
      <c r="D9" s="5" t="s">
        <v>94</v>
      </c>
      <c r="E9" s="5"/>
      <c r="F9" s="6" t="s">
        <v>64</v>
      </c>
      <c r="G9" s="5" t="s">
        <v>85</v>
      </c>
      <c r="H9" s="5" t="s">
        <v>56</v>
      </c>
    </row>
    <row r="10" customFormat="false" ht="15" hidden="false" customHeight="false" outlineLevel="0" collapsed="false">
      <c r="A10" s="5" t="s">
        <v>95</v>
      </c>
      <c r="B10" s="5" t="s">
        <v>83</v>
      </c>
      <c r="C10" s="5" t="s">
        <v>61</v>
      </c>
      <c r="D10" s="5" t="s">
        <v>96</v>
      </c>
      <c r="E10" s="5"/>
      <c r="F10" s="6" t="s">
        <v>64</v>
      </c>
      <c r="G10" s="5" t="s">
        <v>85</v>
      </c>
      <c r="H10" s="5" t="s">
        <v>58</v>
      </c>
    </row>
    <row r="11" customFormat="false" ht="15" hidden="false" customHeight="false" outlineLevel="0" collapsed="false">
      <c r="A11" s="5" t="s">
        <v>97</v>
      </c>
      <c r="B11" s="5" t="s">
        <v>83</v>
      </c>
      <c r="C11" s="5" t="s">
        <v>61</v>
      </c>
      <c r="D11" s="5" t="s">
        <v>98</v>
      </c>
      <c r="E11" s="5"/>
      <c r="F11" s="6" t="s">
        <v>64</v>
      </c>
      <c r="G11" s="5" t="s">
        <v>85</v>
      </c>
      <c r="H11" s="5" t="s">
        <v>61</v>
      </c>
    </row>
    <row r="12" customFormat="false" ht="15" hidden="false" customHeight="false" outlineLevel="0" collapsed="false">
      <c r="A12" s="5" t="s">
        <v>99</v>
      </c>
      <c r="B12" s="5" t="s">
        <v>83</v>
      </c>
      <c r="C12" s="5" t="s">
        <v>61</v>
      </c>
      <c r="D12" s="5" t="s">
        <v>100</v>
      </c>
      <c r="E12" s="5"/>
      <c r="F12" s="6" t="s">
        <v>64</v>
      </c>
      <c r="G12" s="5" t="s">
        <v>85</v>
      </c>
      <c r="H12" s="5" t="s">
        <v>91</v>
      </c>
    </row>
  </sheetData>
  <dataValidations count="3">
    <dataValidation allowBlank="true" errorStyle="stop" operator="between" showDropDown="false" showErrorMessage="false" showInputMessage="false" sqref="B2:B300" type="list">
      <formula1>"Chore,Management"</formula1>
      <formula2>0</formula2>
    </dataValidation>
    <dataValidation allowBlank="true" errorStyle="stop" operator="between" showDropDown="false" showErrorMessage="false" showInputMessage="false" sqref="E2:E300" type="list">
      <formula1>"Kyle,Matt,Everyone"</formula1>
      <formula2>0</formula2>
    </dataValidation>
    <dataValidation allowBlank="true" errorStyle="stop" operator="between" showDropDown="false" showErrorMessage="false" showInputMessage="false" sqref="G2:G300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4" t="s">
        <v>27</v>
      </c>
      <c r="B1" s="4" t="s">
        <v>101</v>
      </c>
      <c r="C1" s="4" t="s">
        <v>102</v>
      </c>
      <c r="D1" s="4" t="s">
        <v>103</v>
      </c>
      <c r="E1" s="4" t="s">
        <v>104</v>
      </c>
      <c r="F1" s="4" t="s">
        <v>36</v>
      </c>
    </row>
    <row r="2" customFormat="false" ht="15" hidden="false" customHeight="false" outlineLevel="0" collapsed="false">
      <c r="A2" s="7" t="s">
        <v>37</v>
      </c>
      <c r="B2" s="7" t="s">
        <v>37</v>
      </c>
      <c r="C2" s="7" t="s">
        <v>38</v>
      </c>
      <c r="D2" s="7" t="s">
        <v>41</v>
      </c>
      <c r="E2" s="7" t="s">
        <v>105</v>
      </c>
      <c r="F2" s="7" t="s">
        <v>106</v>
      </c>
    </row>
  </sheetData>
  <dataValidations count="1">
    <dataValidation allowBlank="true" errorStyle="stop" operator="between" showDropDown="false" showErrorMessage="false" showInputMessage="false" sqref="D2:D300" type="list">
      <formula1>"Kyle,Matt,Everyone"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30"/>
  </cols>
  <sheetData>
    <row r="1" customFormat="false" ht="15" hidden="false" customHeight="false" outlineLevel="0" collapsed="false">
      <c r="A1" s="4" t="s">
        <v>27</v>
      </c>
      <c r="B1" s="4" t="s">
        <v>107</v>
      </c>
      <c r="C1" s="4" t="s">
        <v>30</v>
      </c>
      <c r="D1" s="4" t="s">
        <v>108</v>
      </c>
      <c r="E1" s="4" t="s">
        <v>109</v>
      </c>
      <c r="F1" s="4" t="s">
        <v>110</v>
      </c>
      <c r="G1" s="4" t="s">
        <v>36</v>
      </c>
    </row>
    <row r="2" customFormat="false" ht="15" hidden="false" customHeight="false" outlineLevel="0" collapsed="false">
      <c r="A2" s="5" t="s">
        <v>37</v>
      </c>
      <c r="B2" s="5" t="s">
        <v>111</v>
      </c>
      <c r="C2" s="5" t="s">
        <v>47</v>
      </c>
      <c r="D2" s="5" t="s">
        <v>112</v>
      </c>
      <c r="E2" s="5"/>
      <c r="F2" s="5"/>
      <c r="G2" s="5"/>
    </row>
    <row r="3" customFormat="false" ht="15" hidden="false" customHeight="false" outlineLevel="0" collapsed="false">
      <c r="A3" s="5" t="s">
        <v>45</v>
      </c>
      <c r="B3" s="5" t="s">
        <v>113</v>
      </c>
      <c r="C3" s="5" t="s">
        <v>47</v>
      </c>
      <c r="D3" s="5" t="s">
        <v>112</v>
      </c>
      <c r="E3" s="5"/>
      <c r="F3" s="5"/>
      <c r="G3" s="5"/>
    </row>
    <row r="4" customFormat="false" ht="15" hidden="false" customHeight="false" outlineLevel="0" collapsed="false">
      <c r="A4" s="5" t="s">
        <v>50</v>
      </c>
      <c r="B4" s="5" t="s">
        <v>114</v>
      </c>
      <c r="C4" s="5" t="s">
        <v>47</v>
      </c>
      <c r="D4" s="5" t="s">
        <v>115</v>
      </c>
      <c r="E4" s="5"/>
      <c r="F4" s="5"/>
      <c r="G4" s="5"/>
    </row>
    <row r="5" customFormat="false" ht="15" hidden="false" customHeight="false" outlineLevel="0" collapsed="false">
      <c r="A5" s="5" t="s">
        <v>56</v>
      </c>
      <c r="B5" s="5" t="s">
        <v>116</v>
      </c>
      <c r="C5" s="5" t="s">
        <v>47</v>
      </c>
      <c r="D5" s="5" t="s">
        <v>115</v>
      </c>
      <c r="E5" s="5"/>
      <c r="F5" s="5"/>
      <c r="G5" s="5"/>
    </row>
  </sheetData>
  <dataValidations count="2">
    <dataValidation allowBlank="true" errorStyle="stop" operator="between" showDropDown="false" showErrorMessage="false" showInputMessage="false" sqref="C2:C300" type="list">
      <formula1>"Living Room,Foyer,Bathroom,Kitchen,Backyard,Whole Apartment"</formula1>
      <formula2>0</formula2>
    </dataValidation>
    <dataValidation allowBlank="true" errorStyle="stop" operator="between" showDropDown="false" showErrorMessage="false" showInputMessage="false" sqref="F2:F300" type="list">
      <formula1>"Kyle,Matt"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4" t="s">
        <v>27</v>
      </c>
      <c r="B1" s="4" t="s">
        <v>107</v>
      </c>
      <c r="C1" s="4" t="s">
        <v>117</v>
      </c>
      <c r="D1" s="4" t="s">
        <v>118</v>
      </c>
      <c r="E1" s="4" t="s">
        <v>119</v>
      </c>
      <c r="F1" s="4" t="s">
        <v>36</v>
      </c>
    </row>
    <row r="2" customFormat="false" ht="15" hidden="false" customHeight="false" outlineLevel="0" collapsed="false">
      <c r="A2" s="7" t="s">
        <v>37</v>
      </c>
      <c r="B2" s="7" t="s">
        <v>111</v>
      </c>
      <c r="C2" s="7" t="s">
        <v>54</v>
      </c>
      <c r="D2" s="7" t="s">
        <v>120</v>
      </c>
      <c r="E2" s="7" t="s">
        <v>121</v>
      </c>
      <c r="F2" s="7" t="s">
        <v>106</v>
      </c>
    </row>
  </sheetData>
  <dataValidations count="1">
    <dataValidation allowBlank="true" errorStyle="stop" operator="between" showDropDown="false" showErrorMessage="false" showInputMessage="false" sqref="C2:C300" type="list">
      <formula1>"Kyle,Matt"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4" min="3" style="0" width="16"/>
    <col collapsed="false" customWidth="true" hidden="false" outlineLevel="0" max="5" min="5" style="0" width="38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4" t="s">
        <v>27</v>
      </c>
      <c r="B1" s="4" t="s">
        <v>122</v>
      </c>
      <c r="C1" s="4" t="s">
        <v>123</v>
      </c>
      <c r="D1" s="4" t="s">
        <v>124</v>
      </c>
      <c r="E1" s="4" t="s">
        <v>125</v>
      </c>
      <c r="F1" s="4" t="s">
        <v>126</v>
      </c>
    </row>
    <row r="2" customFormat="false" ht="15" hidden="false" customHeight="false" outlineLevel="0" collapsed="false">
      <c r="A2" s="5" t="s">
        <v>37</v>
      </c>
      <c r="B2" s="5" t="s">
        <v>127</v>
      </c>
      <c r="C2" s="6" t="s">
        <v>64</v>
      </c>
      <c r="D2" s="5" t="s">
        <v>37</v>
      </c>
      <c r="E2" s="5" t="s">
        <v>128</v>
      </c>
      <c r="F2" s="5" t="s">
        <v>129</v>
      </c>
    </row>
    <row r="3" customFormat="false" ht="15" hidden="false" customHeight="false" outlineLevel="0" collapsed="false">
      <c r="A3" s="5" t="s">
        <v>45</v>
      </c>
      <c r="B3" s="5" t="s">
        <v>130</v>
      </c>
      <c r="C3" s="5"/>
      <c r="D3" s="5" t="s">
        <v>131</v>
      </c>
      <c r="E3" s="5" t="s">
        <v>132</v>
      </c>
      <c r="F3" s="5" t="s">
        <v>133</v>
      </c>
    </row>
    <row r="4" customFormat="false" ht="15" hidden="false" customHeight="false" outlineLevel="0" collapsed="false">
      <c r="A4" s="5" t="s">
        <v>50</v>
      </c>
      <c r="B4" s="5" t="s">
        <v>134</v>
      </c>
      <c r="C4" s="5" t="s">
        <v>135</v>
      </c>
      <c r="D4" s="5" t="s">
        <v>37</v>
      </c>
      <c r="E4" s="5" t="s">
        <v>136</v>
      </c>
      <c r="F4" s="5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34"/>
  </cols>
  <sheetData>
    <row r="1" customFormat="false" ht="15" hidden="false" customHeight="false" outlineLevel="0" collapsed="false">
      <c r="A1" s="4" t="s">
        <v>27</v>
      </c>
      <c r="B1" s="4" t="s">
        <v>122</v>
      </c>
      <c r="C1" s="4" t="s">
        <v>137</v>
      </c>
      <c r="D1" s="4" t="s">
        <v>138</v>
      </c>
      <c r="E1" s="4" t="s">
        <v>139</v>
      </c>
      <c r="F1" s="4" t="s">
        <v>140</v>
      </c>
      <c r="G1" s="4" t="s">
        <v>36</v>
      </c>
    </row>
    <row r="2" customFormat="false" ht="15" hidden="false" customHeight="false" outlineLevel="0" collapsed="false">
      <c r="A2" s="7" t="s">
        <v>37</v>
      </c>
      <c r="B2" s="7" t="s">
        <v>130</v>
      </c>
      <c r="C2" s="7" t="s">
        <v>141</v>
      </c>
      <c r="D2" s="7" t="s">
        <v>54</v>
      </c>
      <c r="E2" s="7" t="s">
        <v>142</v>
      </c>
      <c r="F2" s="7" t="s">
        <v>143</v>
      </c>
      <c r="G2" s="7" t="s">
        <v>144</v>
      </c>
    </row>
  </sheetData>
  <dataValidations count="1">
    <dataValidation allowBlank="true" errorStyle="stop" operator="between" showDropDown="false" showErrorMessage="false" showInputMessage="false" sqref="D2:D300" type="list">
      <formula1>"Kyle,Matt"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18"/>
  </cols>
  <sheetData>
    <row r="1" customFormat="false" ht="46.2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4" t="s">
        <v>122</v>
      </c>
      <c r="B3" s="4" t="s">
        <v>146</v>
      </c>
      <c r="C3" s="4" t="s">
        <v>147</v>
      </c>
      <c r="D3" s="4" t="s">
        <v>148</v>
      </c>
    </row>
    <row r="4" customFormat="false" ht="15" hidden="false" customHeight="false" outlineLevel="0" collapsed="false">
      <c r="A4" s="8" t="s">
        <v>127</v>
      </c>
      <c r="B4" s="9" t="n">
        <f aca="false">SUMIFS(Payments!$C$2:$C$2000,Payments!$B$2:$B$2000,A4,Payments!$D$2:$D$2000,"Kyle")</f>
        <v>0</v>
      </c>
      <c r="C4" s="9" t="n">
        <f aca="false">SUMIFS(Payments!$C$2:$C$2000,Payments!$B$2:$B$2000,A4,Payments!$D$2:$D$2000,"Matt")</f>
        <v>0</v>
      </c>
      <c r="D4" s="9" t="n">
        <f aca="false">B4+C4</f>
        <v>0</v>
      </c>
    </row>
    <row r="5" customFormat="false" ht="15" hidden="false" customHeight="false" outlineLevel="0" collapsed="false">
      <c r="A5" s="8" t="s">
        <v>130</v>
      </c>
      <c r="B5" s="9" t="n">
        <f aca="false">SUMIFS(Payments!$C$2:$C$2000,Payments!$B$2:$B$2000,A5,Payments!$D$2:$D$2000,"Kyle")</f>
        <v>0</v>
      </c>
      <c r="C5" s="9" t="n">
        <f aca="false">SUMIFS(Payments!$C$2:$C$2000,Payments!$B$2:$B$2000,A5,Payments!$D$2:$D$2000,"Matt")</f>
        <v>0</v>
      </c>
      <c r="D5" s="9" t="n">
        <f aca="false">B5+C5</f>
        <v>0</v>
      </c>
    </row>
    <row r="6" customFormat="false" ht="15" hidden="false" customHeight="false" outlineLevel="0" collapsed="false">
      <c r="A6" s="8" t="s">
        <v>134</v>
      </c>
      <c r="B6" s="9" t="n">
        <f aca="false">SUMIFS(Payments!$C$2:$C$2000,Payments!$B$2:$B$2000,A6,Payments!$D$2:$D$2000,"Kyle")</f>
        <v>0</v>
      </c>
      <c r="C6" s="9" t="n">
        <f aca="false">SUMIFS(Payments!$C$2:$C$2000,Payments!$B$2:$B$2000,A6,Payments!$D$2:$D$2000,"Matt")</f>
        <v>0</v>
      </c>
      <c r="D6" s="9" t="n">
        <f aca="false">B6+C6</f>
        <v>0</v>
      </c>
    </row>
    <row r="7" customFormat="false" ht="15" hidden="false" customHeight="false" outlineLevel="0" collapsed="false">
      <c r="A7" s="10" t="s">
        <v>149</v>
      </c>
      <c r="B7" s="11" t="n">
        <f aca="false">SUM(B4:B6)</f>
        <v>0</v>
      </c>
      <c r="C7" s="11" t="n">
        <f aca="false">SUM(C4:C6)</f>
        <v>0</v>
      </c>
      <c r="D7" s="11" t="n">
        <f aca="false">SUM(D4:D6)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2026-08-11T15:41:36Z</dcterms:created>
  <dc:creator>openpyxl</dc:creator>
  <dc:description/>
  <dc:language>en-US</dc:language>
  <cp:lastModifiedBy/>
  <dcterms:modified xsi:type="dcterms:W3CDTF">2026-08-11T15:41:36Z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